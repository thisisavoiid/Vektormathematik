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<sst xmlns="http://schemas.openxmlformats.org/spreadsheetml/2006/main" count="31" uniqueCount="22">
  <si>
    <t>Meilensteine</t>
  </si>
  <si>
    <t>Voraussichtliche Deadline</t>
  </si>
  <si>
    <t>Tatsächliche Deadline</t>
  </si>
  <si>
    <t>Deadline eingehalten?</t>
  </si>
  <si>
    <t>Aufgabenanalyse &amp; Strukturplanung</t>
  </si>
  <si>
    <t>12.11.2025</t>
  </si>
  <si>
    <t>Vektor-Struct Grundgerüst erstellen (x,y,z + Konstruktoren)</t>
  </si>
  <si>
    <t>13.11.2025</t>
  </si>
  <si>
    <t>Operatorenüberladungen (+, -, *) implementieren</t>
  </si>
  <si>
    <t>14.11.2025</t>
  </si>
  <si>
    <t>Methoden implementieren: Länge, Quadratlänge, Distanz</t>
  </si>
  <si>
    <t>15.11.2025</t>
  </si>
  <si>
    <t>Punktprodukt &amp; statische Versionen implementieren</t>
  </si>
  <si>
    <t>16.11.2025</t>
  </si>
  <si>
    <t>Konsolenanwendung erstellen und Tests schreiben</t>
  </si>
  <si>
    <t>18.11.2025</t>
  </si>
  <si>
    <t>Ergebnisse prüfen &amp; vergleichen (statisch vs. nicht-statisch)</t>
  </si>
  <si>
    <t>19.11.2025</t>
  </si>
  <si>
    <t>Code aufräumen, Kommentare hinzufügen, Coding-Convention prüfen</t>
  </si>
  <si>
    <t>20.11.2025</t>
  </si>
  <si>
    <t>Feedback einholen &amp; ggf. Anpassungen</t>
  </si>
  <si>
    <t>22.11.2025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</si>
</sst>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  <col customWidth="1" min="2" max="2" width="28.13"/>
    <col customWidth="1" min="3" max="3" width="23.0"/>
    <col customWidth="1" min="4" max="4" width="26.1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 t="s">
        <v>4</v>
      </c>
      <c r="B2" s="4" t="s">
        <v>5</v>
      </c>
      <c r="C2" s="4" t="s">
        <v>5</v>
      </c>
      <c r="D2" s="2" t="str">
        <f t="shared" ref="D2:D10" si="1">IF(AND(B2&lt;&gt;"", C2&lt;&gt;""), 
    IF(DATE(RIGHT(B2,4), MID(B2,4,2), LEFT(B2,2)) &gt;= DATE(RIGHT(C2,4), MID(C2,4,2), LEFT(C2,2)), 
       "Ja", 
       "Nein"), 
    "")
</f>
        <v>Ja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6</v>
      </c>
      <c r="B3" s="4" t="s">
        <v>7</v>
      </c>
      <c r="C3" s="4" t="s">
        <v>5</v>
      </c>
      <c r="D3" s="2" t="str">
        <f t="shared" si="1"/>
        <v>Ja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8</v>
      </c>
      <c r="B4" s="4" t="s">
        <v>9</v>
      </c>
      <c r="C4" s="4" t="s">
        <v>5</v>
      </c>
      <c r="D4" s="2" t="str">
        <f t="shared" si="1"/>
        <v>Ja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3" t="s">
        <v>10</v>
      </c>
      <c r="B5" s="4" t="s">
        <v>11</v>
      </c>
      <c r="C5" s="4" t="s">
        <v>5</v>
      </c>
      <c r="D5" s="2" t="str">
        <f t="shared" si="1"/>
        <v>Ja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3" t="s">
        <v>12</v>
      </c>
      <c r="B6" s="4" t="s">
        <v>13</v>
      </c>
      <c r="C6" s="4" t="s">
        <v>9</v>
      </c>
      <c r="D6" s="2" t="str">
        <f t="shared" si="1"/>
        <v>Ja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3" t="s">
        <v>14</v>
      </c>
      <c r="B7" s="4" t="s">
        <v>15</v>
      </c>
      <c r="C7" s="4" t="s">
        <v>13</v>
      </c>
      <c r="D7" s="2" t="str">
        <f t="shared" si="1"/>
        <v>Ja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3" t="s">
        <v>16</v>
      </c>
      <c r="B8" s="4" t="s">
        <v>17</v>
      </c>
      <c r="C8" s="4" t="s">
        <v>9</v>
      </c>
      <c r="D8" s="2" t="str">
        <f t="shared" si="1"/>
        <v>Ja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3" t="s">
        <v>18</v>
      </c>
      <c r="B9" s="4" t="s">
        <v>19</v>
      </c>
      <c r="C9" s="4" t="s">
        <v>9</v>
      </c>
      <c r="D9" s="2" t="str">
        <f t="shared" si="1"/>
        <v>Ja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3" t="s">
        <v>20</v>
      </c>
      <c r="B10" s="4" t="s">
        <v>21</v>
      </c>
      <c r="C10" s="4" t="s">
        <v>17</v>
      </c>
      <c r="D10" s="2" t="str">
        <f t="shared" si="1"/>
        <v>Ja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3"/>
      <c r="B11" s="4"/>
      <c r="C11" s="2"/>
      <c r="D11" s="2" t="str">
        <f t="shared" ref="D11:D23" si="2">IF(AND(NOT(ISBLANK(B11)), NOT(ISBLANK(C11))), IF(B11&gt;=C11, "Ja", "Nein"), "")
</f>
        <v/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5"/>
      <c r="B12" s="2"/>
      <c r="C12" s="2"/>
      <c r="D12" s="2" t="str">
        <f t="shared" si="2"/>
        <v/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5"/>
      <c r="B13" s="2"/>
      <c r="C13" s="2"/>
      <c r="D13" s="2" t="str">
        <f t="shared" si="2"/>
        <v/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5"/>
      <c r="B14" s="2"/>
      <c r="C14" s="2"/>
      <c r="D14" s="2" t="str">
        <f t="shared" si="2"/>
        <v/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5"/>
      <c r="B15" s="2"/>
      <c r="C15" s="2"/>
      <c r="D15" s="2" t="str">
        <f t="shared" si="2"/>
        <v/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5"/>
      <c r="B16" s="2"/>
      <c r="C16" s="2"/>
      <c r="D16" s="2" t="str">
        <f t="shared" si="2"/>
        <v/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5"/>
      <c r="B17" s="2"/>
      <c r="C17" s="2"/>
      <c r="D17" s="2" t="str">
        <f t="shared" si="2"/>
        <v/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5"/>
      <c r="B18" s="2"/>
      <c r="C18" s="2"/>
      <c r="D18" s="2" t="str">
        <f t="shared" si="2"/>
        <v/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5"/>
      <c r="B19" s="2"/>
      <c r="C19" s="2"/>
      <c r="D19" s="2" t="str">
        <f t="shared" si="2"/>
        <v/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5"/>
      <c r="B20" s="2"/>
      <c r="C20" s="2"/>
      <c r="D20" s="2" t="str">
        <f t="shared" si="2"/>
        <v/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5"/>
      <c r="B21" s="2"/>
      <c r="C21" s="2"/>
      <c r="D21" s="2" t="str">
        <f t="shared" si="2"/>
        <v/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5"/>
      <c r="B22" s="2"/>
      <c r="C22" s="2"/>
      <c r="D22" s="2" t="str">
        <f t="shared" si="2"/>
        <v/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5"/>
      <c r="B23" s="2"/>
      <c r="C23" s="2"/>
      <c r="D23" s="2" t="str">
        <f t="shared" si="2"/>
        <v/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D2:D23">
    <cfRule type="containsText" dxfId="0" priority="1" operator="containsText" text="ja">
      <formula>NOT(ISERROR(SEARCH(("ja"),(D2))))</formula>
    </cfRule>
  </conditionalFormatting>
  <conditionalFormatting sqref="D2:D23">
    <cfRule type="containsText" dxfId="1" priority="2" operator="containsText" text="nein">
      <formula>NOT(ISERROR(SEARCH(("nein"),(D2))))</formula>
    </cfRule>
  </conditionalFormatting>
  <drawing r:id="rId1"/>
</worksheet>
</file>